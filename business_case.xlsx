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Financial Model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($#,##0);&quot;-&quot;"/>
    <numFmt numFmtId="165" formatCode="0.0%;(0.0%);&quot;-&quot;"/>
    <numFmt numFmtId="166" formatCode="0.000"/>
    <numFmt numFmtId="167" formatCode="0.00&quot; yrs&quot;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color rgb="000000FF"/>
      <sz val="10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1F3864"/>
      <sz val="14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/>
    </xf>
    <xf numFmtId="0" fontId="2" fillId="0" borderId="1" pivotButton="0" quotePrefix="0" xfId="0"/>
    <xf numFmtId="164" fontId="5" fillId="4" borderId="1" applyAlignment="1" pivotButton="0" quotePrefix="0" xfId="0">
      <alignment horizontal="center" vertical="center"/>
    </xf>
    <xf numFmtId="0" fontId="6" fillId="0" borderId="1" pivotButton="0" quotePrefix="0" xfId="0"/>
    <xf numFmtId="165" fontId="5" fillId="4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0" fontId="6" fillId="0" borderId="0" pivotButton="0" quotePrefix="0" xfId="0"/>
    <xf numFmtId="1" fontId="4" fillId="3" borderId="1" applyAlignment="1" pivotButton="0" quotePrefix="0" xfId="0">
      <alignment horizontal="center" vertical="center"/>
    </xf>
    <xf numFmtId="164" fontId="2" fillId="0" borderId="1" pivotButton="0" quotePrefix="0" xfId="0"/>
    <xf numFmtId="0" fontId="4" fillId="0" borderId="0" pivotButton="0" quotePrefix="0" xfId="0"/>
    <xf numFmtId="164" fontId="4" fillId="3" borderId="1" pivotButton="0" quotePrefix="0" xfId="0"/>
    <xf numFmtId="166" fontId="2" fillId="0" borderId="1" pivotButton="0" quotePrefix="0" xfId="0"/>
    <xf numFmtId="0" fontId="7" fillId="2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00006100"/>
      </font>
    </dxf>
    <dxf>
      <font>
        <b val="1"/>
        <color rgb="00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Cash Flow Trend</a:t>
            </a:r>
          </a:p>
        </rich>
      </tx>
    </title>
    <plotArea>
      <lineChart>
        <grouping val="standard"/>
        <ser>
          <idx val="0"/>
          <order val="0"/>
          <tx>
            <strRef>
              <f>'Financial Model'!A7</f>
            </strRef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'Financial Model'!$B$3:$G$3</f>
            </numRef>
          </cat>
          <val>
            <numRef>
              <f>'Financial Model'!$B$7:$G$7</f>
            </numRef>
          </val>
          <smooth val="0"/>
        </ser>
        <ser>
          <idx val="1"/>
          <order val="1"/>
          <tx>
            <strRef>
              <f>'Financial Model'!A8</f>
            </strRef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'Financial Model'!$B$3:$G$3</f>
            </numRef>
          </cat>
          <val>
            <numRef>
              <f>'Financial Model'!$B$8:$G$8</f>
            </numRef>
          </val>
          <smooth val="0"/>
        </ser>
        <ser>
          <idx val="2"/>
          <order val="2"/>
          <tx>
            <strRef>
              <f>'Financial Model'!A11</f>
            </strRef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'Financial Model'!$B$3:$G$3</f>
            </numRef>
          </cat>
          <val>
            <numRef>
              <f>'Financial Model'!$B$11:$G$11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45" customWidth="1" min="3" max="3"/>
  </cols>
  <sheetData>
    <row r="1">
      <c r="A1" s="1" t="inlineStr">
        <is>
          <t>Technology Implementation Project</t>
        </is>
      </c>
    </row>
    <row r="2">
      <c r="A2" s="2" t="inlineStr">
        <is>
          <t>Prepared for: Client Name</t>
        </is>
      </c>
    </row>
    <row r="4" ht="22" customHeight="1">
      <c r="A4" s="3" t="inlineStr">
        <is>
          <t>Key Assumptions</t>
        </is>
      </c>
      <c r="B4" s="4" t="n"/>
      <c r="C4" s="5" t="n"/>
    </row>
    <row r="5">
      <c r="A5" s="6" t="inlineStr">
        <is>
          <t>Assumption</t>
        </is>
      </c>
      <c r="B5" s="6" t="inlineStr">
        <is>
          <t>Value</t>
        </is>
      </c>
      <c r="C5" s="6" t="inlineStr">
        <is>
          <t>Notes</t>
        </is>
      </c>
    </row>
    <row r="6">
      <c r="A6" s="7" t="inlineStr">
        <is>
          <t>Implementation Cost ($)</t>
        </is>
      </c>
      <c r="B6" s="8" t="n">
        <v>250000</v>
      </c>
      <c r="C6" s="9" t="inlineStr">
        <is>
          <t>One-time software / implementation spend, Year 0</t>
        </is>
      </c>
    </row>
    <row r="7">
      <c r="A7" s="7" t="inlineStr">
        <is>
          <t>IoT Sensor Cost ($)</t>
        </is>
      </c>
      <c r="B7" s="8" t="n">
        <v>75000</v>
      </c>
      <c r="C7" s="9" t="inlineStr">
        <is>
          <t>One-time hardware spend, Year 0</t>
        </is>
      </c>
    </row>
    <row r="8">
      <c r="A8" s="7" t="inlineStr">
        <is>
          <t>Expected Annual Savings ($), Year 1</t>
        </is>
      </c>
      <c r="B8" s="8" t="n">
        <v>120000</v>
      </c>
      <c r="C8" s="9" t="inlineStr">
        <is>
          <t>Gross run-rate savings once solution is live</t>
        </is>
      </c>
    </row>
    <row r="9">
      <c r="A9" s="7" t="inlineStr">
        <is>
          <t>Annual Savings Growth Rate</t>
        </is>
      </c>
      <c r="B9" s="10" t="n">
        <v>0.03</v>
      </c>
      <c r="C9" s="9" t="inlineStr">
        <is>
          <t>Applied year-over-year to savings (e.g. efficiency gains)</t>
        </is>
      </c>
    </row>
    <row r="10">
      <c r="A10" s="7" t="inlineStr">
        <is>
          <t>Annual Maintenance / Support Cost ($)</t>
        </is>
      </c>
      <c r="B10" s="8" t="n">
        <v>15000</v>
      </c>
      <c r="C10" s="9" t="inlineStr">
        <is>
          <t>Recurring cost from Year 1 onward</t>
        </is>
      </c>
    </row>
    <row r="11">
      <c r="A11" s="7" t="inlineStr">
        <is>
          <t>Discount Rate</t>
        </is>
      </c>
      <c r="B11" s="10" t="n">
        <v>0.08</v>
      </c>
      <c r="C11" s="9" t="inlineStr">
        <is>
          <t>Used to discount future cash flows for NPV</t>
        </is>
      </c>
    </row>
    <row r="12">
      <c r="A12" s="7" t="inlineStr">
        <is>
          <t>Projection Horizon (Years)</t>
        </is>
      </c>
      <c r="B12" s="11" t="n">
        <v>5</v>
      </c>
      <c r="C12" s="9" t="inlineStr">
        <is>
          <t>Number of post-implementation years modeled</t>
        </is>
      </c>
    </row>
    <row r="14">
      <c r="A14" s="12" t="inlineStr">
        <is>
          <t>Blue = hardcoded input.  Black = formula.  Edit only the yellow cells to run new scenarios.</t>
        </is>
      </c>
    </row>
  </sheetData>
  <mergeCells count="4">
    <mergeCell ref="A1:C1"/>
    <mergeCell ref="A4:C4"/>
    <mergeCell ref="A14:C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Technology Implementation Project — Financial Model</t>
        </is>
      </c>
    </row>
    <row r="3">
      <c r="A3" s="6" t="inlineStr">
        <is>
          <t>Year</t>
        </is>
      </c>
      <c r="B3" s="13" t="n">
        <v>0</v>
      </c>
      <c r="C3" s="13" t="n">
        <v>1</v>
      </c>
      <c r="D3" s="13" t="n">
        <v>2</v>
      </c>
      <c r="E3" s="13" t="n">
        <v>3</v>
      </c>
      <c r="F3" s="13" t="n">
        <v>4</v>
      </c>
      <c r="G3" s="13" t="n">
        <v>5</v>
      </c>
    </row>
    <row r="4">
      <c r="A4" s="2" t="inlineStr">
        <is>
          <t>Initial Investment ($)</t>
        </is>
      </c>
      <c r="B4" s="14">
        <f>-(Assumptions!$B$6+Assumptions!$B$7)</f>
        <v/>
      </c>
      <c r="C4" s="14" t="n">
        <v>0</v>
      </c>
      <c r="D4" s="14" t="n">
        <v>0</v>
      </c>
      <c r="E4" s="14" t="n">
        <v>0</v>
      </c>
      <c r="F4" s="14" t="n">
        <v>0</v>
      </c>
      <c r="G4" s="14" t="n">
        <v>0</v>
      </c>
    </row>
    <row r="5">
      <c r="A5" s="2" t="inlineStr">
        <is>
          <t>Annual Savings ($)</t>
        </is>
      </c>
      <c r="B5" s="14" t="n">
        <v>0</v>
      </c>
      <c r="C5" s="14">
        <f>Assumptions!$B$8</f>
        <v/>
      </c>
      <c r="D5" s="14">
        <f>C5*(1+Assumptions!$B$9)</f>
        <v/>
      </c>
      <c r="E5" s="14">
        <f>D5*(1+Assumptions!$B$9)</f>
        <v/>
      </c>
      <c r="F5" s="14">
        <f>E5*(1+Assumptions!$B$9)</f>
        <v/>
      </c>
      <c r="G5" s="14">
        <f>F5*(1+Assumptions!$B$9)</f>
        <v/>
      </c>
    </row>
    <row r="6">
      <c r="A6" s="2" t="inlineStr">
        <is>
          <t>Maintenance / Support Cost ($)</t>
        </is>
      </c>
      <c r="B6" s="14" t="n">
        <v>0</v>
      </c>
      <c r="C6" s="14">
        <f>-Assumptions!$B$10</f>
        <v/>
      </c>
      <c r="D6" s="14">
        <f>-Assumptions!$B$10</f>
        <v/>
      </c>
      <c r="E6" s="14">
        <f>-Assumptions!$B$10</f>
        <v/>
      </c>
      <c r="F6" s="14">
        <f>-Assumptions!$B$10</f>
        <v/>
      </c>
      <c r="G6" s="14">
        <f>-Assumptions!$B$10</f>
        <v/>
      </c>
    </row>
    <row r="7">
      <c r="A7" s="15" t="inlineStr">
        <is>
          <t>Net Cash Flow ($)</t>
        </is>
      </c>
      <c r="B7" s="16">
        <f>B4+B5+B6</f>
        <v/>
      </c>
      <c r="C7" s="16">
        <f>C4+C5+C6</f>
        <v/>
      </c>
      <c r="D7" s="16">
        <f>D4+D5+D6</f>
        <v/>
      </c>
      <c r="E7" s="16">
        <f>E4+E5+E6</f>
        <v/>
      </c>
      <c r="F7" s="16">
        <f>F4+F5+F6</f>
        <v/>
      </c>
      <c r="G7" s="16">
        <f>G4+G5+G6</f>
        <v/>
      </c>
    </row>
    <row r="8">
      <c r="A8" s="2" t="inlineStr">
        <is>
          <t>Cumulative Cash Flow ($)</t>
        </is>
      </c>
      <c r="B8" s="14">
        <f>B7</f>
        <v/>
      </c>
      <c r="C8" s="14">
        <f>B8+C7</f>
        <v/>
      </c>
      <c r="D8" s="14">
        <f>C8+D7</f>
        <v/>
      </c>
      <c r="E8" s="14">
        <f>D8+E7</f>
        <v/>
      </c>
      <c r="F8" s="14">
        <f>E8+F7</f>
        <v/>
      </c>
      <c r="G8" s="14">
        <f>F8+G7</f>
        <v/>
      </c>
    </row>
    <row r="9">
      <c r="A9" s="2" t="inlineStr">
        <is>
          <t>Discount Factor</t>
        </is>
      </c>
      <c r="B9" s="17">
        <f>1/(1+Assumptions!$B$11)^B$3</f>
        <v/>
      </c>
      <c r="C9" s="17">
        <f>1/(1+Assumptions!$B$11)^C$3</f>
        <v/>
      </c>
      <c r="D9" s="17">
        <f>1/(1+Assumptions!$B$11)^D$3</f>
        <v/>
      </c>
      <c r="E9" s="17">
        <f>1/(1+Assumptions!$B$11)^E$3</f>
        <v/>
      </c>
      <c r="F9" s="17">
        <f>1/(1+Assumptions!$B$11)^F$3</f>
        <v/>
      </c>
      <c r="G9" s="17">
        <f>1/(1+Assumptions!$B$11)^G$3</f>
        <v/>
      </c>
    </row>
    <row r="10">
      <c r="A10" s="2" t="inlineStr">
        <is>
          <t>PV of Net Cash Flow ($)</t>
        </is>
      </c>
      <c r="B10" s="14">
        <f>B7*B9</f>
        <v/>
      </c>
      <c r="C10" s="14">
        <f>C7*C9</f>
        <v/>
      </c>
      <c r="D10" s="14">
        <f>D7*D9</f>
        <v/>
      </c>
      <c r="E10" s="14">
        <f>E7*E9</f>
        <v/>
      </c>
      <c r="F10" s="14">
        <f>F7*F9</f>
        <v/>
      </c>
      <c r="G10" s="14">
        <f>G7*G9</f>
        <v/>
      </c>
    </row>
    <row r="11">
      <c r="A11" s="2" t="inlineStr">
        <is>
          <t>Cumulative PV ($)</t>
        </is>
      </c>
      <c r="B11" s="14">
        <f>B10</f>
        <v/>
      </c>
      <c r="C11" s="14">
        <f>B11+C10</f>
        <v/>
      </c>
      <c r="D11" s="14">
        <f>C11+D10</f>
        <v/>
      </c>
      <c r="E11" s="14">
        <f>D11+E10</f>
        <v/>
      </c>
      <c r="F11" s="14">
        <f>E11+F10</f>
        <v/>
      </c>
      <c r="G11" s="14">
        <f>F11+G10</f>
        <v/>
      </c>
    </row>
    <row r="14" ht="22" customHeight="1">
      <c r="A14" s="3" t="inlineStr">
        <is>
          <t>Key Metrics</t>
        </is>
      </c>
      <c r="B14" s="4" t="n"/>
      <c r="C14" s="4" t="n"/>
      <c r="D14" s="4" t="n"/>
      <c r="E14" s="5" t="n"/>
    </row>
    <row r="15" ht="30" customHeight="1">
      <c r="A15" s="18" t="inlineStr">
        <is>
          <t>Net Present Value (NPV)</t>
        </is>
      </c>
      <c r="B15" s="18" t="inlineStr">
        <is>
          <t>ROI (Total)</t>
        </is>
      </c>
      <c r="C15" s="18" t="inlineStr">
        <is>
          <t>Payback Period (Years)</t>
        </is>
      </c>
      <c r="D15" s="18" t="inlineStr">
        <is>
          <t>Total Net Savings (undiscounted)</t>
        </is>
      </c>
    </row>
    <row r="16" ht="26" customHeight="1">
      <c r="A16" s="19">
        <f>NPV(Assumptions!$B$11,C7:G7)+B7</f>
        <v/>
      </c>
      <c r="B16" s="20">
        <f>SUM(C7:G7)/-B7</f>
        <v/>
      </c>
      <c r="C16" s="21">
        <f>IFERROR(MATCH(TRUE,INDEX(B8:G8&gt;0,0))-2+(-INDEX(B8:G8,MATCH(TRUE,INDEX(B8:G8&gt;0,0))-1))/INDEX(B7:G7,MATCH(TRUE,INDEX(B8:G8&gt;0,0))),"Not within horizon")</f>
        <v/>
      </c>
      <c r="D16" s="19">
        <f>SUM(C5:G5)+SUM(C6:G6)</f>
        <v/>
      </c>
    </row>
  </sheetData>
  <mergeCells count="2">
    <mergeCell ref="A1:G1"/>
    <mergeCell ref="A14:E14"/>
  </mergeCells>
  <conditionalFormatting sqref="A16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this model works</t>
        </is>
      </c>
    </row>
    <row r="3" ht="30" customHeight="1">
      <c r="A3" s="22" t="inlineStr">
        <is>
          <t>1. All inputs live on the 'Assumptions' tab in yellow/blue cells — change any of them and every formula in 'Financial Model' recalculates automatically.</t>
        </is>
      </c>
    </row>
    <row r="4" ht="30" customHeight="1">
      <c r="A4" s="22" t="inlineStr">
        <is>
          <t>2. Year 0 captures the one-time Implementation Cost and IoT Sensor Cost as a negative cash outflow.</t>
        </is>
      </c>
    </row>
    <row r="5" ht="30" customHeight="1">
      <c r="A5" s="22" t="inlineStr">
        <is>
          <t>3. Annual Savings begin in Year 1 and grow each year by the Savings Growth Rate assumption to reflect efficiency gains or scaling.</t>
        </is>
      </c>
    </row>
    <row r="6" ht="30" customHeight="1">
      <c r="A6" s="22" t="inlineStr">
        <is>
          <t>4. Annual Maintenance/Support Cost is deducted every year from Year 1 onward.</t>
        </is>
      </c>
    </row>
    <row r="7" ht="30" customHeight="1">
      <c r="A7" s="22" t="inlineStr">
        <is>
          <t>5. NPV discounts each year's Net Cash Flow back to present value using the Discount Rate assumption (standard Excel NPV function).</t>
        </is>
      </c>
    </row>
    <row r="8" ht="30" customHeight="1">
      <c r="A8" s="22" t="inlineStr">
        <is>
          <t>6. ROI is calculated as total net cash generated over the horizon divided by the initial investment.</t>
        </is>
      </c>
    </row>
    <row r="9" ht="30" customHeight="1">
      <c r="A9" s="22" t="inlineStr">
        <is>
          <t>7. Payback Period identifies the year (interpolated to a fraction of a year) in which cumulative cash flow turns positive.</t>
        </is>
      </c>
    </row>
    <row r="10" ht="30" customHeight="1">
      <c r="A10" s="22" t="inlineStr">
        <is>
          <t>8. The embedded chart plots Net Cash Flow, Cumulative Cash Flow, and Cumulative PV over the projection horizon so you can visually spot the breakeven point.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2026-07-09T05:37:26Z</dcterms:created>
  <dcterms:modified xsi:type="dcterms:W3CDTF">2026-07-09T05:37:26Z</dcterms:modified>
</cp:coreProperties>
</file>