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ssumptions" sheetId="1" r:id="rId4"/>
    <sheet state="visible" name="Financial Model" sheetId="2" r:id="rId5"/>
    <sheet state="visible" name="Notes" sheetId="3" r:id="rId6"/>
  </sheets>
  <definedNames/>
  <calcPr/>
</workbook>
</file>

<file path=xl/sharedStrings.xml><?xml version="1.0" encoding="utf-8"?>
<sst xmlns="http://schemas.openxmlformats.org/spreadsheetml/2006/main" count="45" uniqueCount="45">
  <si>
    <t>Warehouse IoT Monitoring Rollout</t>
  </si>
  <si>
    <t>Prepared for: Acme Logistics</t>
  </si>
  <si>
    <t>Key Assumptions</t>
  </si>
  <si>
    <t>Assumption</t>
  </si>
  <si>
    <t>Value</t>
  </si>
  <si>
    <t>Notes</t>
  </si>
  <si>
    <t>Implementation Cost ($)</t>
  </si>
  <si>
    <t>One-time software / implementation spend, Year 0</t>
  </si>
  <si>
    <t>IoT Sensor Cost ($)</t>
  </si>
  <si>
    <t>One-time hardware spend, Year 0</t>
  </si>
  <si>
    <t>Expected Annual Savings ($), Year 1</t>
  </si>
  <si>
    <t>Gross run-rate savings once solution is live</t>
  </si>
  <si>
    <t>Annual Savings Growth Rate</t>
  </si>
  <si>
    <t>Applied year-over-year to savings (e.g. efficiency gains)</t>
  </si>
  <si>
    <t>Annual Maintenance / Support Cost ($)</t>
  </si>
  <si>
    <t>Recurring cost from Year 1 onward</t>
  </si>
  <si>
    <t>Discount Rate</t>
  </si>
  <si>
    <t>Used to discount future cash flows for NPV</t>
  </si>
  <si>
    <t>Projection Horizon (Years)</t>
  </si>
  <si>
    <t>Number of post-implementation years modeled</t>
  </si>
  <si>
    <t>Blue = hardcoded input.  Black = formula.  Edit only the yellow cells to run new scenarios.</t>
  </si>
  <si>
    <t>Warehouse IoT Monitoring Rollout — Financial Model</t>
  </si>
  <si>
    <t>Year</t>
  </si>
  <si>
    <t>Initial Investment ($)</t>
  </si>
  <si>
    <t>Annual Savings ($)</t>
  </si>
  <si>
    <t>Maintenance / Support Cost ($)</t>
  </si>
  <si>
    <t>Net Cash Flow ($)</t>
  </si>
  <si>
    <t>Cumulative Cash Flow ($)</t>
  </si>
  <si>
    <t>Discount Factor</t>
  </si>
  <si>
    <t>PV of Net Cash Flow ($)</t>
  </si>
  <si>
    <t>Cumulative PV ($)</t>
  </si>
  <si>
    <t>Key Metrics</t>
  </si>
  <si>
    <t>Net Present Value (NPV)</t>
  </si>
  <si>
    <t>ROI (Total)</t>
  </si>
  <si>
    <t>Payback Period (Years)</t>
  </si>
  <si>
    <t>Total Net Savings (undiscounted)</t>
  </si>
  <si>
    <t>How this model works</t>
  </si>
  <si>
    <t>1. All inputs live on the 'Assumptions' tab in yellow/blue cells — change any of them and every formula in 'Financial Model' recalculates automatically.</t>
  </si>
  <si>
    <t>2. Year 0 captures the one-time Implementation Cost and IoT Sensor Cost as a negative cash outflow.</t>
  </si>
  <si>
    <t>3. Annual Savings begin in Year 1 and grow each year by the Savings Growth Rate assumption to reflect efficiency gains or scaling.</t>
  </si>
  <si>
    <t>4. Annual Maintenance/Support Cost is deducted every year from Year 1 onward.</t>
  </si>
  <si>
    <t>5. NPV discounts each year's Net Cash Flow back to present value using the Discount Rate assumption (standard Excel NPV function).</t>
  </si>
  <si>
    <t>6. ROI is calculated as total net cash generated over the horizon divided by the initial investment.</t>
  </si>
  <si>
    <t>7. Payback Period identifies the year (interpolated to a fraction of a year) in which cumulative cash flow turns positive.</t>
  </si>
  <si>
    <t>8. The embedded chart plots Net Cash Flow, Cumulative Cash Flow, and Cumulative PV over the projection horizon so you can visually spot the breakeven point.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</si>
</sst>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\$#,##0;&quot;($&quot;#,##0\);\-"/>
    <numFmt numFmtId="165" formatCode="0.0%;\(0.0%\);\-"/>
    <numFmt numFmtId="166" formatCode="0.000"/>
    <numFmt numFmtId="167" formatCode="0.00&quot; yrs&quot;"/>
  </numFmts>
  <fonts count="11">
    <font>
      <sz val="11.0"/>
      <color/>
      <name val="Arial"/>
      <scheme val="minor"/>
    </font>
    <font>
      <b/>
      <sz val="16.0"/>
      <color rgb="FF1F3864"/>
      <name val="Arial"/>
    </font>
    <font>
      <sz val="10.0"/>
      <color rgb="FF000000"/>
      <name val="Arial"/>
    </font>
    <font>
      <b/>
      <sz val="12.0"/>
      <color rgb="FFFFFFFF"/>
      <name val="Arial"/>
    </font>
    <font/>
    <font>
      <b/>
      <sz val="10.0"/>
      <color rgb="FF000000"/>
      <name val="Arial"/>
    </font>
    <font>
      <sz val="10.0"/>
      <color rgb="FF0000FF"/>
      <name val="Arial"/>
    </font>
    <font>
      <i/>
      <sz val="9.0"/>
      <color rgb="FF595959"/>
      <name val="Arial"/>
    </font>
    <font>
      <b/>
      <sz val="10.0"/>
      <color rgb="FFFFFFFF"/>
      <name val="Arial"/>
    </font>
    <font>
      <b/>
      <sz val="14.0"/>
      <color rgb="FF1F3864"/>
      <name val="Arial"/>
    </font>
    <font>
      <sz val="10.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</fills>
  <borders count="5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0"/>
    </xf>
    <xf borderId="2" fillId="0" fontId="4" numFmtId="0" xfId="0" applyBorder="1" applyFont="1"/>
    <xf borderId="3" fillId="0" fontId="4" numFmtId="0" xfId="0" applyBorder="1" applyFont="1"/>
    <xf borderId="4" fillId="3" fontId="5" numFmtId="0" xfId="0" applyAlignment="1" applyBorder="1" applyFill="1" applyFont="1">
      <alignment horizontal="center" shrinkToFit="0" vertical="center" wrapText="0"/>
    </xf>
    <xf borderId="4" fillId="0" fontId="2" numFmtId="0" xfId="0" applyAlignment="1" applyBorder="1" applyFont="1">
      <alignment shrinkToFit="0" vertical="bottom" wrapText="0"/>
    </xf>
    <xf borderId="4" fillId="4" fontId="6" numFmtId="164" xfId="0" applyAlignment="1" applyBorder="1" applyFill="1" applyFont="1" applyNumberFormat="1">
      <alignment horizontal="center" shrinkToFit="0" vertical="center" wrapText="0"/>
    </xf>
    <xf borderId="4" fillId="0" fontId="7" numFmtId="0" xfId="0" applyAlignment="1" applyBorder="1" applyFont="1">
      <alignment shrinkToFit="0" vertical="bottom" wrapText="0"/>
    </xf>
    <xf borderId="4" fillId="4" fontId="6" numFmtId="165" xfId="0" applyAlignment="1" applyBorder="1" applyFont="1" applyNumberFormat="1">
      <alignment horizontal="center" shrinkToFit="0" vertical="center" wrapText="0"/>
    </xf>
    <xf borderId="4" fillId="4" fontId="6" numFmtId="1" xfId="0" applyAlignment="1" applyBorder="1" applyFont="1" applyNumberFormat="1">
      <alignment horizontal="center" shrinkToFit="0" vertical="center" wrapText="0"/>
    </xf>
    <xf borderId="0" fillId="0" fontId="7" numFmtId="0" xfId="0" applyAlignment="1" applyFont="1">
      <alignment shrinkToFit="0" vertical="bottom" wrapText="0"/>
    </xf>
    <xf borderId="4" fillId="3" fontId="5" numFmtId="1" xfId="0" applyAlignment="1" applyBorder="1" applyFont="1" applyNumberFormat="1">
      <alignment horizontal="center" shrinkToFit="0" vertical="center" wrapText="0"/>
    </xf>
    <xf borderId="4" fillId="0" fontId="2" numFmtId="164" xfId="0" applyAlignment="1" applyBorder="1" applyFont="1" applyNumberFormat="1">
      <alignment shrinkToFit="0" vertical="bottom" wrapText="0"/>
    </xf>
    <xf borderId="0" fillId="0" fontId="5" numFmtId="0" xfId="0" applyAlignment="1" applyFont="1">
      <alignment shrinkToFit="0" vertical="bottom" wrapText="0"/>
    </xf>
    <xf borderId="4" fillId="3" fontId="5" numFmtId="164" xfId="0" applyAlignment="1" applyBorder="1" applyFont="1" applyNumberFormat="1">
      <alignment shrinkToFit="0" vertical="bottom" wrapText="0"/>
    </xf>
    <xf borderId="4" fillId="0" fontId="2" numFmtId="166" xfId="0" applyAlignment="1" applyBorder="1" applyFont="1" applyNumberFormat="1">
      <alignment shrinkToFit="0" vertical="bottom" wrapText="0"/>
    </xf>
    <xf borderId="4" fillId="2" fontId="8" numFmtId="0" xfId="0" applyAlignment="1" applyBorder="1" applyFont="1">
      <alignment horizontal="center" shrinkToFit="0" vertical="center" wrapText="1"/>
    </xf>
    <xf borderId="4" fillId="0" fontId="9" numFmtId="164" xfId="0" applyAlignment="1" applyBorder="1" applyFont="1" applyNumberFormat="1">
      <alignment horizontal="center" shrinkToFit="0" vertical="center" wrapText="0"/>
    </xf>
    <xf borderId="4" fillId="0" fontId="9" numFmtId="165" xfId="0" applyAlignment="1" applyBorder="1" applyFont="1" applyNumberFormat="1">
      <alignment horizontal="center" shrinkToFit="0" vertical="center" wrapText="0"/>
    </xf>
    <xf borderId="4" fillId="0" fontId="9" numFmtId="167" xfId="0" applyAlignment="1" applyBorder="1" applyFont="1" applyNumberFormat="1">
      <alignment horizontal="center" shrinkToFit="0" vertical="center" wrapText="0"/>
    </xf>
    <xf borderId="0" fillId="0" fontId="10" numFmtId="0" xfId="0" applyAlignment="1" applyFont="1">
      <alignment shrinkToFit="0" vertical="top" wrapText="1"/>
    </xf>
  </cellXfs>
  <cellStyles count="1">
    <cellStyle xfId="0" name="Normal" builtinId="0"/>
  </cellStyles>
  <dxfs count="2">
    <dxf>
      <font>
        <b/>
        <color rgb="FF006100"/>
      </font>
      <fill>
        <patternFill patternType="none"/>
      </fill>
      <border/>
    </dxf>
    <dxf>
      <font>
        <b/>
        <color rgb="FF9C0006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Cash Flow Trend</a:t>
            </a:r>
          </a:p>
        </c:rich>
      </c:tx>
      <c:overlay val="0"/>
    </c:title>
    <c:plotArea>
      <c:layout/>
      <c:lineChart>
        <c:ser>
          <c:idx val="0"/>
          <c:order val="0"/>
          <c:tx>
            <c:v>Net Cash Flow ($)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4A7EBB">
                  <a:alpha val="100000"/>
                </a:srgbClr>
              </a:solidFill>
              <a:ln cmpd="sng">
                <a:solidFill>
                  <a:srgbClr val="4A7EBB">
                    <a:alpha val="100000"/>
                  </a:srgbClr>
                </a:solidFill>
              </a:ln>
            </c:spPr>
          </c:marker>
          <c:cat>
            <c:strRef>
              <c:f>'Financial Model'!$B$3:$G$3</c:f>
            </c:strRef>
          </c:cat>
          <c:val>
            <c:numRef>
              <c:f>'Financial Model'!$B$7:$G$7</c:f>
              <c:numCache/>
            </c:numRef>
          </c:val>
          <c:smooth val="0"/>
        </c:ser>
        <c:ser>
          <c:idx val="1"/>
          <c:order val="1"/>
          <c:tx>
            <c:v>Cumulative Cash Flow ($)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BE4B48">
                  <a:alpha val="100000"/>
                </a:srgbClr>
              </a:solidFill>
              <a:ln cmpd="sng">
                <a:solidFill>
                  <a:srgbClr val="BE4B48">
                    <a:alpha val="100000"/>
                  </a:srgbClr>
                </a:solidFill>
              </a:ln>
            </c:spPr>
          </c:marker>
          <c:cat>
            <c:strRef>
              <c:f>'Financial Model'!$B$3:$G$3</c:f>
            </c:strRef>
          </c:cat>
          <c:val>
            <c:numRef>
              <c:f>'Financial Model'!$B$8:$G$8</c:f>
              <c:numCache/>
            </c:numRef>
          </c:val>
          <c:smooth val="0"/>
        </c:ser>
        <c:ser>
          <c:idx val="2"/>
          <c:order val="2"/>
          <c:tx>
            <c:v>Cumulative PV ($)</c:v>
          </c:tx>
          <c:spPr>
            <a:ln cmpd="sng" w="19050">
              <a:solidFill>
                <a:srgbClr val="98B855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98B855">
                  <a:alpha val="100000"/>
                </a:srgbClr>
              </a:solidFill>
              <a:ln cmpd="sng">
                <a:solidFill>
                  <a:srgbClr val="98B855">
                    <a:alpha val="100000"/>
                  </a:srgbClr>
                </a:solidFill>
              </a:ln>
            </c:spPr>
          </c:marker>
          <c:cat>
            <c:strRef>
              <c:f>'Financial Model'!$B$3:$G$3</c:f>
            </c:strRef>
          </c:cat>
          <c:val>
            <c:numRef>
              <c:f>'Financial Model'!$B$11:$G$11</c:f>
              <c:numCache/>
            </c:numRef>
          </c:val>
          <c:smooth val="0"/>
        </c:ser>
        <c:axId val="1406941771"/>
        <c:axId val="419287812"/>
      </c:lineChart>
      <c:catAx>
        <c:axId val="14069417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419287812"/>
      </c:catAx>
      <c:valAx>
        <c:axId val="4192878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USD ($)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0694177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17</xdr:row>
      <xdr:rowOff>123825</xdr:rowOff>
    </xdr:from>
    <xdr:ext cx="6848475" cy="34004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b="0" l="0" r="0" t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b="0" l="0" r="0" t="0"/>
        </a:gradFill>
      </a:fillStyleLst>
      <a:lnStyleLst>
        <a:ln cap="flat" cmpd="sng" w="9525" algn="ctr">
          <a:prstDash val="solid"/>
        </a:ln>
        <a:ln cap="flat" cmpd="sng" w="25400" algn="ctr">
          <a:prstDash val="solid"/>
        </a:ln>
        <a:ln cap="flat" cmpd="sng" w="38100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b="180000" l="50000" r="50000" t="-80000"/>
          </a:path>
          <a:tileRect b="0" l="0" r="0" t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b="50000" l="50000" r="50000" t="50000"/>
          </a:path>
          <a:tileRect b="0" l="0" r="0" t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2.0"/>
    <col customWidth="1" min="2" max="2" width="20.0"/>
    <col customWidth="1" min="3" max="3" width="45.0"/>
    <col customWidth="1" min="4" max="11" width="8.71"/>
  </cols>
  <sheetData>
    <row r="1">
      <c r="A1" s="1" t="s">
        <v>0</v>
      </c>
    </row>
    <row r="2">
      <c r="A2" s="2" t="s">
        <v>1</v>
      </c>
    </row>
    <row r="4" ht="21.75" customHeight="1">
      <c r="A4" s="3" t="s">
        <v>2</v>
      </c>
      <c r="B4" s="4"/>
      <c r="C4" s="5"/>
    </row>
    <row r="5">
      <c r="A5" s="6" t="s">
        <v>3</v>
      </c>
      <c r="B5" s="6" t="s">
        <v>4</v>
      </c>
      <c r="C5" s="6" t="s">
        <v>5</v>
      </c>
    </row>
    <row r="6">
      <c r="A6" s="7" t="s">
        <v>6</v>
      </c>
      <c r="B6" s="8">
        <v>250000.0</v>
      </c>
      <c r="C6" s="9" t="s">
        <v>7</v>
      </c>
    </row>
    <row r="7">
      <c r="A7" s="7" t="s">
        <v>8</v>
      </c>
      <c r="B7" s="8">
        <v>85000.0</v>
      </c>
      <c r="C7" s="9" t="s">
        <v>9</v>
      </c>
    </row>
    <row r="8">
      <c r="A8" s="7" t="s">
        <v>10</v>
      </c>
      <c r="B8" s="8">
        <v>140000.0</v>
      </c>
      <c r="C8" s="9" t="s">
        <v>11</v>
      </c>
    </row>
    <row r="9">
      <c r="A9" s="7" t="s">
        <v>12</v>
      </c>
      <c r="B9" s="10">
        <v>0.03</v>
      </c>
      <c r="C9" s="9" t="s">
        <v>13</v>
      </c>
    </row>
    <row r="10">
      <c r="A10" s="7" t="s">
        <v>14</v>
      </c>
      <c r="B10" s="8">
        <v>18000.0</v>
      </c>
      <c r="C10" s="9" t="s">
        <v>15</v>
      </c>
    </row>
    <row r="11">
      <c r="A11" s="7" t="s">
        <v>16</v>
      </c>
      <c r="B11" s="10">
        <v>0.08</v>
      </c>
      <c r="C11" s="9" t="s">
        <v>17</v>
      </c>
    </row>
    <row r="12">
      <c r="A12" s="7" t="s">
        <v>18</v>
      </c>
      <c r="B12" s="11">
        <v>5.0</v>
      </c>
      <c r="C12" s="9" t="s">
        <v>19</v>
      </c>
    </row>
    <row r="14">
      <c r="A14" s="12" t="s">
        <v>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4">
    <mergeCell ref="A1:C1"/>
    <mergeCell ref="A2:C2"/>
    <mergeCell ref="A4:C4"/>
    <mergeCell ref="A14:C1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30.0"/>
    <col customWidth="1" min="2" max="7" width="15.0"/>
    <col customWidth="1" min="8" max="11" width="8.71"/>
  </cols>
  <sheetData>
    <row r="1">
      <c r="A1" s="1" t="s">
        <v>21</v>
      </c>
    </row>
    <row r="3">
      <c r="A3" s="6" t="s">
        <v>22</v>
      </c>
      <c r="B3" s="13">
        <v>0.0</v>
      </c>
      <c r="C3" s="13">
        <v>1.0</v>
      </c>
      <c r="D3" s="13">
        <v>2.0</v>
      </c>
      <c r="E3" s="13">
        <v>3.0</v>
      </c>
      <c r="F3" s="13">
        <v>4.0</v>
      </c>
      <c r="G3" s="13">
        <v>5.0</v>
      </c>
    </row>
    <row r="4">
      <c r="A4" s="2" t="s">
        <v>23</v>
      </c>
      <c r="B4" s="14" t="str">
        <f>-(Assumptions!$B$6+Assumptions!$B$7)</f>
        <v>($335,000)</v>
      </c>
      <c r="C4" s="14">
        <v>0.0</v>
      </c>
      <c r="D4" s="14">
        <v>0.0</v>
      </c>
      <c r="E4" s="14">
        <v>0.0</v>
      </c>
      <c r="F4" s="14">
        <v>0.0</v>
      </c>
      <c r="G4" s="14">
        <v>0.0</v>
      </c>
    </row>
    <row r="5">
      <c r="A5" s="2" t="s">
        <v>24</v>
      </c>
      <c r="B5" s="14">
        <v>0.0</v>
      </c>
      <c r="C5" s="14" t="str">
        <f>Assumptions!$B$8</f>
        <v>$140,000</v>
      </c>
      <c r="D5" s="14" t="str">
        <f>C5*(1+Assumptions!$B$9)</f>
        <v>$144,200</v>
      </c>
      <c r="E5" s="14" t="str">
        <f>D5*(1+Assumptions!$B$9)</f>
        <v>$148,526</v>
      </c>
      <c r="F5" s="14" t="str">
        <f>E5*(1+Assumptions!$B$9)</f>
        <v>$152,982</v>
      </c>
      <c r="G5" s="14" t="str">
        <f>F5*(1+Assumptions!$B$9)</f>
        <v>$157,571</v>
      </c>
    </row>
    <row r="6">
      <c r="A6" s="2" t="s">
        <v>25</v>
      </c>
      <c r="B6" s="14">
        <v>0.0</v>
      </c>
      <c r="C6" s="14" t="str">
        <f>-Assumptions!$B$10</f>
        <v>($18,000)</v>
      </c>
      <c r="D6" s="14" t="str">
        <f>-Assumptions!$B$10</f>
        <v>($18,000)</v>
      </c>
      <c r="E6" s="14" t="str">
        <f>-Assumptions!$B$10</f>
        <v>($18,000)</v>
      </c>
      <c r="F6" s="14" t="str">
        <f>-Assumptions!$B$10</f>
        <v>($18,000)</v>
      </c>
      <c r="G6" s="14" t="str">
        <f>-Assumptions!$B$10</f>
        <v>($18,000)</v>
      </c>
    </row>
    <row r="7">
      <c r="A7" s="15" t="s">
        <v>26</v>
      </c>
      <c r="B7" s="16" t="str">
        <f t="shared" ref="B7:G7" si="1">B4+B5+B6</f>
        <v>($335,000)</v>
      </c>
      <c r="C7" s="16" t="str">
        <f t="shared" si="1"/>
        <v>$122,000</v>
      </c>
      <c r="D7" s="16" t="str">
        <f t="shared" si="1"/>
        <v>$126,200</v>
      </c>
      <c r="E7" s="16" t="str">
        <f t="shared" si="1"/>
        <v>$130,526</v>
      </c>
      <c r="F7" s="16" t="str">
        <f t="shared" si="1"/>
        <v>$134,982</v>
      </c>
      <c r="G7" s="16" t="str">
        <f t="shared" si="1"/>
        <v>$139,571</v>
      </c>
    </row>
    <row r="8">
      <c r="A8" s="2" t="s">
        <v>27</v>
      </c>
      <c r="B8" s="14" t="str">
        <f>B7</f>
        <v>($335,000)</v>
      </c>
      <c r="C8" s="14" t="str">
        <f t="shared" ref="C8:G8" si="2">B8+C7</f>
        <v>($213,000)</v>
      </c>
      <c r="D8" s="14" t="str">
        <f t="shared" si="2"/>
        <v>($86,800)</v>
      </c>
      <c r="E8" s="14" t="str">
        <f t="shared" si="2"/>
        <v>$43,726</v>
      </c>
      <c r="F8" s="14" t="str">
        <f t="shared" si="2"/>
        <v>$178,708</v>
      </c>
      <c r="G8" s="14" t="str">
        <f t="shared" si="2"/>
        <v>$318,279</v>
      </c>
    </row>
    <row r="9">
      <c r="A9" s="2" t="s">
        <v>28</v>
      </c>
      <c r="B9" s="17" t="str">
        <f>1/(1+Assumptions!$B$11)^B$3</f>
        <v>1.000</v>
      </c>
      <c r="C9" s="17" t="str">
        <f>1/(1+Assumptions!$B$11)^C$3</f>
        <v>0.926</v>
      </c>
      <c r="D9" s="17" t="str">
        <f>1/(1+Assumptions!$B$11)^D$3</f>
        <v>0.857</v>
      </c>
      <c r="E9" s="17" t="str">
        <f>1/(1+Assumptions!$B$11)^E$3</f>
        <v>0.794</v>
      </c>
      <c r="F9" s="17" t="str">
        <f>1/(1+Assumptions!$B$11)^F$3</f>
        <v>0.735</v>
      </c>
      <c r="G9" s="17" t="str">
        <f>1/(1+Assumptions!$B$11)^G$3</f>
        <v>0.681</v>
      </c>
    </row>
    <row r="10">
      <c r="A10" s="2" t="s">
        <v>29</v>
      </c>
      <c r="B10" s="14" t="str">
        <f t="shared" ref="B10:G10" si="3">B7*B9</f>
        <v>($335,000)</v>
      </c>
      <c r="C10" s="14" t="str">
        <f t="shared" si="3"/>
        <v>$112,963</v>
      </c>
      <c r="D10" s="14" t="str">
        <f t="shared" si="3"/>
        <v>$108,196</v>
      </c>
      <c r="E10" s="14" t="str">
        <f t="shared" si="3"/>
        <v>$103,616</v>
      </c>
      <c r="F10" s="14" t="str">
        <f t="shared" si="3"/>
        <v>$99,216</v>
      </c>
      <c r="G10" s="14" t="str">
        <f t="shared" si="3"/>
        <v>$94,990</v>
      </c>
    </row>
    <row r="11">
      <c r="A11" s="2" t="s">
        <v>30</v>
      </c>
      <c r="B11" s="14" t="str">
        <f>B10</f>
        <v>($335,000)</v>
      </c>
      <c r="C11" s="14" t="str">
        <f t="shared" ref="C11:G11" si="4">B11+C10</f>
        <v>($222,037)</v>
      </c>
      <c r="D11" s="14" t="str">
        <f t="shared" si="4"/>
        <v>($113,841)</v>
      </c>
      <c r="E11" s="14" t="str">
        <f t="shared" si="4"/>
        <v>($10,225)</v>
      </c>
      <c r="F11" s="14" t="str">
        <f t="shared" si="4"/>
        <v>$88,991</v>
      </c>
      <c r="G11" s="14" t="str">
        <f t="shared" si="4"/>
        <v>$183,980</v>
      </c>
    </row>
    <row r="14" ht="21.75" customHeight="1">
      <c r="A14" s="3" t="s">
        <v>31</v>
      </c>
      <c r="B14" s="4"/>
      <c r="C14" s="4"/>
      <c r="D14" s="4"/>
      <c r="E14" s="5"/>
    </row>
    <row r="15" ht="30.0" customHeight="1">
      <c r="A15" s="18" t="s">
        <v>32</v>
      </c>
      <c r="B15" s="18" t="s">
        <v>33</v>
      </c>
      <c r="C15" s="18" t="s">
        <v>34</v>
      </c>
      <c r="D15" s="18" t="s">
        <v>35</v>
      </c>
    </row>
    <row r="16" ht="25.5" customHeight="1">
      <c r="A16" s="19" t="str">
        <f t="array" ref="A16">NPV(Assumptions!$B$11,C7:G7)+B7</f>
        <v>$183,980</v>
      </c>
      <c r="B16" s="20" t="str">
        <f>SUM(C7:G7)/-B7</f>
        <v>195.0%</v>
      </c>
      <c r="C16" s="21" t="str">
        <f t="array" ref="C16">IFERROR(MATCH(TRUE(),INDEX(B8:G8&gt;0,0))-2+(-INDEX(B8:G8,MATCH(TRUE(),INDEX(B8:G8&gt;0,0))-1))/INDEX(B7:G7,MATCH(TRUE(),INDEX(B8:G8&gt;0,0))),"Not within horizon")</f>
        <v>2.72 yrs</v>
      </c>
      <c r="D16" s="19" t="str">
        <f>SUM(C5:G5)+SUM(C6:G6)</f>
        <v>$653,279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2">
    <mergeCell ref="A1:G1"/>
    <mergeCell ref="A14:E14"/>
  </mergeCells>
  <conditionalFormatting sqref="A16">
    <cfRule type="cellIs" dxfId="0" priority="1" operator="greaterThanOrEqual">
      <formula>0</formula>
    </cfRule>
  </conditionalFormatting>
  <conditionalFormatting sqref="A16">
    <cfRule type="cellIs" dxfId="1" priority="2" operator="less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11" width="8.71"/>
  </cols>
  <sheetData>
    <row r="1">
      <c r="A1" s="1" t="s">
        <v>36</v>
      </c>
    </row>
    <row r="3" ht="30.0" customHeight="1">
      <c r="A3" s="22" t="s">
        <v>37</v>
      </c>
    </row>
    <row r="4" ht="30.0" customHeight="1">
      <c r="A4" s="22" t="s">
        <v>38</v>
      </c>
    </row>
    <row r="5" ht="30.0" customHeight="1">
      <c r="A5" s="22" t="s">
        <v>39</v>
      </c>
    </row>
    <row r="6" ht="30.0" customHeight="1">
      <c r="A6" s="22" t="s">
        <v>40</v>
      </c>
    </row>
    <row r="7" ht="30.0" customHeight="1">
      <c r="A7" s="22" t="s">
        <v>41</v>
      </c>
    </row>
    <row r="8" ht="30.0" customHeight="1">
      <c r="A8" s="22" t="s">
        <v>42</v>
      </c>
    </row>
    <row r="9" ht="30.0" customHeight="1">
      <c r="A9" s="22" t="s">
        <v>43</v>
      </c>
    </row>
    <row r="10" ht="30.0" customHeight="1">
      <c r="A10" s="22" t="s">
        <v>44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1.0" footer="0.0" header="0.0" left="0.75" right="0.75" top="1.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2026-07-09T04:08:52Z</dcterms:created>
  <dc:creator>openpyxl</dc:creator>
  <dc:description/>
  <dc:language>en-US</dc:language>
  <cp:lastModifiedBy/>
  <dcterms:modified xsi:type="dcterms:W3CDTF">2026-07-09T04:08:58Z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