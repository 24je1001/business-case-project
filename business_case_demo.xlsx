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inancial Model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0.0000"/>
    <numFmt numFmtId="167" formatCode="0.00&quot; Yrs&quot;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b val="1"/>
      <color rgb="001D4ED8"/>
      <sz val="10"/>
    </font>
    <font>
      <name val="Segoe UI"/>
      <i val="1"/>
      <color rgb="006B7280"/>
      <sz val="9"/>
    </font>
    <font>
      <name val="Segoe UI"/>
      <color rgb="00000000"/>
      <sz val="10"/>
    </font>
    <font>
      <name val="Segoe UI"/>
      <b val="1"/>
      <color rgb="00FFFFFF"/>
      <sz val="10"/>
    </font>
    <font>
      <name val="Segoe UI"/>
      <b val="1"/>
      <color rgb="001B365D"/>
      <sz val="14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8EEF5"/>
      </patternFill>
    </fill>
    <fill>
      <patternFill patternType="solid">
        <fgColor rgb="00FAF9F5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2" fillId="0" borderId="1" pivotButton="0" quotePrefix="0" xfId="0"/>
    <xf numFmtId="164" fontId="7" fillId="0" borderId="1" pivotButton="0" quotePrefix="0" xfId="0"/>
    <xf numFmtId="0" fontId="4" fillId="0" borderId="0" pivotButton="0" quotePrefix="0" xfId="0"/>
    <xf numFmtId="164" fontId="4" fillId="3" borderId="1" pivotButton="0" quotePrefix="0" xfId="0"/>
    <xf numFmtId="166" fontId="7" fillId="0" borderId="1" pivotButton="0" quotePrefix="0" xfId="0"/>
    <xf numFmtId="0" fontId="3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2">
    <dxf>
      <font>
        <b val="1"/>
        <color rgb="0015803D"/>
      </font>
    </dxf>
    <dxf>
      <font>
        <b val="1"/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Investment Return Horizons &amp; Cumulative Trajectory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Model'!A7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Model'!$B$7:$G$7</f>
            </numRef>
          </val>
          <smooth val="1"/>
        </ser>
        <ser>
          <idx val="1"/>
          <order val="1"/>
          <tx>
            <strRef>
              <f>'Financial Model'!A8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Model'!$B$8:$G$8</f>
            </numRef>
          </val>
          <smooth val="1"/>
        </ser>
        <ser>
          <idx val="2"/>
          <order val="2"/>
          <tx>
            <strRef>
              <f>'Financial Model'!A11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'Financial Model'!$B$3:$G$3</f>
            </numRef>
          </cat>
          <val>
            <numRef>
              <f>'Financial Model'!$B$11:$G$11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Valuation Increments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Valuation Streams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0" customWidth="1" min="3" max="3"/>
  </cols>
  <sheetData>
    <row r="1">
      <c r="A1" s="1" t="inlineStr">
        <is>
          <t>Enterprise Cloud &amp; AI Transformation</t>
        </is>
      </c>
    </row>
    <row r="2">
      <c r="A2" s="2" t="inlineStr">
        <is>
          <t>Financial Strategy Proposal | Prepared for: Global Enterprise Corp</t>
        </is>
      </c>
    </row>
    <row r="4" ht="26" customHeight="1">
      <c r="A4" s="3" t="inlineStr">
        <is>
          <t>Model Configuration &amp; Architecture Parameters</t>
        </is>
      </c>
      <c r="B4" s="4" t="n"/>
      <c r="C4" s="5" t="n"/>
    </row>
    <row r="5" ht="22" customHeight="1">
      <c r="A5" s="6" t="inlineStr">
        <is>
          <t>Financial Driver Vector</t>
        </is>
      </c>
      <c r="B5" s="6" t="inlineStr">
        <is>
          <t>Base Value Assumption</t>
        </is>
      </c>
      <c r="C5" s="6" t="inlineStr">
        <is>
          <t>Strategic Context &amp; Accounting Treatment</t>
        </is>
      </c>
    </row>
    <row r="6" ht="22" customHeight="1">
      <c r="A6" s="7" t="inlineStr">
        <is>
          <t>Platform Implementation Capital ($)</t>
        </is>
      </c>
      <c r="B6" s="8" t="n">
        <v>450000</v>
      </c>
      <c r="C6" s="9" t="inlineStr">
        <is>
          <t>Capitalized system design, architecture, and deployment services.</t>
        </is>
      </c>
    </row>
    <row r="7" ht="22" customHeight="1">
      <c r="A7" s="7" t="inlineStr">
        <is>
          <t>Edge Infrastructure Hardware ($)</t>
        </is>
      </c>
      <c r="B7" s="8" t="n">
        <v>125000</v>
      </c>
      <c r="C7" s="9" t="inlineStr">
        <is>
          <t>Procurement of sensor arrays, endpoints, and physical network nodes.</t>
        </is>
      </c>
    </row>
    <row r="8" ht="22" customHeight="1">
      <c r="A8" s="7" t="inlineStr">
        <is>
          <t>Initial Operational Savings ($)</t>
        </is>
      </c>
      <c r="B8" s="8" t="n">
        <v>260000</v>
      </c>
      <c r="C8" s="9" t="inlineStr">
        <is>
          <t>Targeted Year 1 gross utility, process efficiency, and labor optimization.</t>
        </is>
      </c>
    </row>
    <row r="9" ht="22" customHeight="1">
      <c r="A9" s="7" t="inlineStr">
        <is>
          <t>Savings Scaling Optimization Rate</t>
        </is>
      </c>
      <c r="B9" s="10" t="n">
        <v>0.04</v>
      </c>
      <c r="C9" s="9" t="inlineStr">
        <is>
          <t>Compounding annual efficiency coefficient from automated process maturity.</t>
        </is>
      </c>
    </row>
    <row r="10" ht="22" customHeight="1">
      <c r="A10" s="7" t="inlineStr">
        <is>
          <t>Sustaining Maintenance Overhead ($)</t>
        </is>
      </c>
      <c r="B10" s="8" t="n">
        <v>35000</v>
      </c>
      <c r="C10" s="9" t="inlineStr">
        <is>
          <t>Recurring service legal agreements, upgrades, and support run-rate.</t>
        </is>
      </c>
    </row>
    <row r="11" ht="22" customHeight="1">
      <c r="A11" s="7" t="inlineStr">
        <is>
          <t>Corporate Discount Rate (WACC)</t>
        </is>
      </c>
      <c r="B11" s="10" t="n">
        <v>0.08500000000000001</v>
      </c>
      <c r="C11" s="9" t="inlineStr">
        <is>
          <t>Corporate hurdle rate optimized for present-value cash stream factoring.</t>
        </is>
      </c>
    </row>
    <row r="12" ht="22" customHeight="1">
      <c r="A12" s="7" t="inlineStr">
        <is>
          <t>Strategic Valuation Horizon (Years)</t>
        </is>
      </c>
      <c r="B12" s="11" t="n">
        <v>5</v>
      </c>
      <c r="C12" s="9" t="inlineStr">
        <is>
          <t>Active duration modeled for infrastructure run lifecycle analysis.</t>
        </is>
      </c>
    </row>
    <row r="15">
      <c r="A15" s="12" t="inlineStr">
        <is>
          <t>Standard Convention Notice: Royal Blue metrics denote manual assumptions input variables. Dark black outputs signify automated formula paths.</t>
        </is>
      </c>
    </row>
  </sheetData>
  <mergeCells count="2">
    <mergeCell ref="A15:C1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Projected Valuation Ledger &amp; Cash Flow Analysis</t>
        </is>
      </c>
    </row>
    <row r="3" ht="24" customHeight="1">
      <c r="A3" s="13" t="inlineStr">
        <is>
          <t>Timeline Index</t>
        </is>
      </c>
      <c r="B3" s="6" t="inlineStr">
        <is>
          <t>Year 0 (CapEx)</t>
        </is>
      </c>
      <c r="C3" s="6" t="inlineStr">
        <is>
          <t>Year 1</t>
        </is>
      </c>
      <c r="D3" s="6" t="inlineStr">
        <is>
          <t>Year 2</t>
        </is>
      </c>
      <c r="E3" s="6" t="inlineStr">
        <is>
          <t>Year 3</t>
        </is>
      </c>
      <c r="F3" s="6" t="inlineStr">
        <is>
          <t>Year 4</t>
        </is>
      </c>
      <c r="G3" s="6" t="inlineStr">
        <is>
          <t>Year 5</t>
        </is>
      </c>
    </row>
    <row r="4" ht="22" customHeight="1">
      <c r="A4" s="14" t="inlineStr">
        <is>
          <t>Initial Capital Investment</t>
        </is>
      </c>
      <c r="B4" s="15">
        <f>-(Assumptions!$B$6+Assumptions!$B$7)</f>
        <v/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</row>
    <row r="5" ht="22" customHeight="1">
      <c r="A5" s="14" t="inlineStr">
        <is>
          <t>Gross Operational Savings</t>
        </is>
      </c>
      <c r="B5" s="15" t="n">
        <v>0</v>
      </c>
      <c r="C5" s="15">
        <f>Assumptions!$B$8</f>
        <v/>
      </c>
      <c r="D5" s="15">
        <f>C5*(1+Assumptions!$B$9)</f>
        <v/>
      </c>
      <c r="E5" s="15">
        <f>D5*(1+Assumptions!$B$9)</f>
        <v/>
      </c>
      <c r="F5" s="15">
        <f>E5*(1+Assumptions!$B$9)</f>
        <v/>
      </c>
      <c r="G5" s="15">
        <f>F5*(1+Assumptions!$B$9)</f>
        <v/>
      </c>
    </row>
    <row r="6" ht="22" customHeight="1">
      <c r="A6" s="14" t="inlineStr">
        <is>
          <t>Sustaining Support Costs</t>
        </is>
      </c>
      <c r="B6" s="15" t="n">
        <v>0</v>
      </c>
      <c r="C6" s="15">
        <f>-Assumptions!$B$10</f>
        <v/>
      </c>
      <c r="D6" s="15">
        <f>-Assumptions!$B$10</f>
        <v/>
      </c>
      <c r="E6" s="15">
        <f>-Assumptions!$B$10</f>
        <v/>
      </c>
      <c r="F6" s="15">
        <f>-Assumptions!$B$10</f>
        <v/>
      </c>
      <c r="G6" s="15">
        <f>-Assumptions!$B$10</f>
        <v/>
      </c>
    </row>
    <row r="7" ht="24" customHeight="1">
      <c r="A7" s="16" t="inlineStr">
        <is>
          <t>Net Annual Cash Flow</t>
        </is>
      </c>
      <c r="B7" s="17">
        <f>B4+B5+B6</f>
        <v/>
      </c>
      <c r="C7" s="17">
        <f>C4+C5+C6</f>
        <v/>
      </c>
      <c r="D7" s="17">
        <f>D4+D5+D6</f>
        <v/>
      </c>
      <c r="E7" s="17">
        <f>E4+E5+E6</f>
        <v/>
      </c>
      <c r="F7" s="17">
        <f>F4+F5+F6</f>
        <v/>
      </c>
      <c r="G7" s="17">
        <f>G4+G5+G6</f>
        <v/>
      </c>
    </row>
    <row r="8" ht="22" customHeight="1">
      <c r="A8" s="14" t="inlineStr">
        <is>
          <t>Cumulative Nominal Cash Flow</t>
        </is>
      </c>
      <c r="B8" s="15">
        <f>B7</f>
        <v/>
      </c>
      <c r="C8" s="15">
        <f>B8+C7</f>
        <v/>
      </c>
      <c r="D8" s="15">
        <f>C8+D7</f>
        <v/>
      </c>
      <c r="E8" s="15">
        <f>D8+E7</f>
        <v/>
      </c>
      <c r="F8" s="15">
        <f>E8+F7</f>
        <v/>
      </c>
      <c r="G8" s="15">
        <f>F8+G7</f>
        <v/>
      </c>
    </row>
    <row r="9" ht="22" customHeight="1">
      <c r="A9" s="14" t="inlineStr">
        <is>
          <t>Present Value Factor</t>
        </is>
      </c>
      <c r="B9" s="18">
        <f>1/(1+Assumptions!$B$11)^0</f>
        <v/>
      </c>
      <c r="C9" s="18">
        <f>1/(1+Assumptions!$B$11)^1</f>
        <v/>
      </c>
      <c r="D9" s="18">
        <f>1/(1+Assumptions!$B$11)^2</f>
        <v/>
      </c>
      <c r="E9" s="18">
        <f>1/(1+Assumptions!$B$11)^3</f>
        <v/>
      </c>
      <c r="F9" s="18">
        <f>1/(1+Assumptions!$B$11)^4</f>
        <v/>
      </c>
      <c r="G9" s="18">
        <f>1/(1+Assumptions!$B$11)^5</f>
        <v/>
      </c>
    </row>
    <row r="10" ht="22" customHeight="1">
      <c r="A10" s="14" t="inlineStr">
        <is>
          <t>Discounted Net Cash Flow (PV)</t>
        </is>
      </c>
      <c r="B10" s="15">
        <f>B7*B9</f>
        <v/>
      </c>
      <c r="C10" s="15">
        <f>C7*C9</f>
        <v/>
      </c>
      <c r="D10" s="15">
        <f>D7*D9</f>
        <v/>
      </c>
      <c r="E10" s="15">
        <f>E7*E9</f>
        <v/>
      </c>
      <c r="F10" s="15">
        <f>F7*F9</f>
        <v/>
      </c>
      <c r="G10" s="15">
        <f>G7*G9</f>
        <v/>
      </c>
    </row>
    <row r="11" ht="22" customHeight="1">
      <c r="A11" s="14" t="inlineStr">
        <is>
          <t>Cumulative Present Value (NPV Trend)</t>
        </is>
      </c>
      <c r="B11" s="15">
        <f>B10</f>
        <v/>
      </c>
      <c r="C11" s="15">
        <f>B11+C10</f>
        <v/>
      </c>
      <c r="D11" s="15">
        <f>C11+D10</f>
        <v/>
      </c>
      <c r="E11" s="15">
        <f>D11+E10</f>
        <v/>
      </c>
      <c r="F11" s="15">
        <f>E11+F10</f>
        <v/>
      </c>
      <c r="G11" s="15">
        <f>F11+G10</f>
        <v/>
      </c>
    </row>
    <row r="14" ht="26" customHeight="1">
      <c r="A14" s="19" t="inlineStr">
        <is>
          <t>Executive Investment Scorecard Metrics</t>
        </is>
      </c>
      <c r="B14" s="4" t="n"/>
      <c r="C14" s="4" t="n"/>
      <c r="D14" s="4" t="n"/>
      <c r="E14" s="5" t="n"/>
    </row>
    <row r="15" ht="28" customHeight="1">
      <c r="A15" s="20" t="inlineStr">
        <is>
          <t>Net Present Value (NPV)</t>
        </is>
      </c>
      <c r="B15" s="20" t="inlineStr">
        <is>
          <t>Internal Return Multiplier (ROI)</t>
        </is>
      </c>
      <c r="C15" s="20" t="inlineStr">
        <is>
          <t>Calculated Payback Lifecycle</t>
        </is>
      </c>
      <c r="D15" s="20" t="inlineStr">
        <is>
          <t>Total Net Capital Delta</t>
        </is>
      </c>
    </row>
    <row r="16" ht="30" customHeight="1">
      <c r="A16" s="21">
        <f>NPV(Assumptions!$B$11,C7:G7)+B7</f>
        <v/>
      </c>
      <c r="B16" s="22">
        <f>SUM(C7:G7)/-B7</f>
        <v/>
      </c>
      <c r="C16" s="23">
        <f>IFERROR(MATCH(TRUE,INDEX(B8:G8&gt;0,0))-2+(-INDEX(B8:G8,MATCH(TRUE,INDEX(B8:G8&gt;0,0))-1))/INDEX(B7:G7,MATCH(TRUE,INDEX(B8:G8&gt;0,0))),"Out of Range")</f>
        <v/>
      </c>
      <c r="D16" s="21">
        <f>SUM(C5:G5)+SUM(C6:G6)</f>
        <v/>
      </c>
    </row>
  </sheetData>
  <mergeCells count="2">
    <mergeCell ref="A1:G1"/>
    <mergeCell ref="A14:E14"/>
  </mergeCells>
  <conditionalFormatting sqref="B16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Operational Guidelines &amp; Architectural Design Criteria</t>
        </is>
      </c>
    </row>
    <row r="3" ht="24" customHeight="1">
      <c r="A3" s="24" t="inlineStr">
        <is>
          <t>1. Interconnected Architecture: Modifications applied inside the yellow 'Assumptions' tab propagate instantly down calculation layers.</t>
        </is>
      </c>
    </row>
    <row r="4" ht="24" customHeight="1">
      <c r="A4" s="24" t="inlineStr">
        <is>
          <t>2. Capital Outlay Alignment: Baseline software platforms and ancillary node machinery components aggregate directly into Year 0 outflows.</t>
        </is>
      </c>
    </row>
    <row r="5" ht="24" customHeight="1">
      <c r="A5" s="24" t="inlineStr">
        <is>
          <t>3. Precision Payback Formula: Calculated fields use true linear index estimation points to establish target breakeven metrics cleanly.</t>
        </is>
      </c>
    </row>
    <row r="6" ht="24" customHeight="1">
      <c r="A6" s="24" t="inlineStr">
        <is>
          <t>4. Secured Document Notice: Ensure you select 'Enable Editing' in the Microsoft Excel notification ribbons to unlock full local evaluation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2026-07-09T07:57:13Z</dcterms:created>
  <dcterms:modified xsi:type="dcterms:W3CDTF">2026-07-09T07:57:13Z</dcterms:modified>
</cp:coreProperties>
</file>